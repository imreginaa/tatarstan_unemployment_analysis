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71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<sst xmlns="http://schemas.openxmlformats.org/spreadsheetml/2006/main" count="10" uniqueCount="10">
  <si>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Дата</t>
  </si>
  <si>
    <t>Период</t>
  </si>
  <si>
    <t>Уровень безработицы, %</t>
  </si>
  <si>
    <t>Индекс инвестиций, %</t>
  </si>
  <si>
    <t>Номинально начисл. заработная плата, руб.</t>
  </si>
  <si>
    <t>Средняя цена 1 кв м, руб.</t>
  </si>
  <si>
    <t>Разность безрботицы</t>
  </si>
  <si>
    <t>ВРП_млн_руб</t>
  </si>
  <si>
    <t>Население_трудоспособное_тыс</t>
  </si>
  <si>
    <t>Загрузка: Читаем Excel, убираем дубли, считаем годовые средние.
Трансформация: Превращаем уровни в темпы роста (log_ret) и разности (diff), чтобы сделать ряды стационарными.
Стандартизация: Приводим все факторы к единому масштабу (среднее=0, отклонение=1), чтобы модели было легче считать.
Байесовский вывод:
Задаем Априоры (ожидания).
Запускаем сэмплер, который гуляет по пространству вариантов и строит Апостериоры (реальные распределения коэффициентов с учетом данных).
Прогноз:
Берем средние значения из Апостериоров.
Считаем прогнозные изменения для будущих лет.
Прибавляем эти изменения к последнему известному уровню безработицы (Накопление).
Оценка: Сравниваем полученную линию прогноза с реальной линией из Excel, считаем ошибку (MAE).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</si>
</sst>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\.##0.00_-;\-* #\.##0.00_-;_-* &quot;-&quot;??_-;_-@_-"/>
    <numFmt numFmtId="177" formatCode="_-* #\.##0.00\ &quot;₽&quot;_-;\-* #\.##0.00\ &quot;₽&quot;_-;_-* \-??\ &quot;₽&quot;_-;_-@_-"/>
    <numFmt numFmtId="178" formatCode="_-* #\.##0_-;\-* #\.##0_-;_-* &quot;-&quot;_-;_-@_-"/>
    <numFmt numFmtId="179" formatCode="_-* #\.##0\ &quot;₽&quot;_-;\-* #\.##0\ &quot;₽&quot;_-;_-* \-\ &quot;₽&quot;_-;_-@_-"/>
  </numFmts>
  <fonts count="25">
    <font>
      <sz val="11"/>
      <color theme="1"/>
      <name val="Calibri"/>
      <charset val="134"/>
      <scheme val="minor"/>
    </font>
    <font>
      <sz val="10"/>
      <name val="Arial"/>
      <charset val="204"/>
    </font>
    <font>
      <sz val="10"/>
      <color indexed="18"/>
      <name val="Arial"/>
      <charset val="204"/>
    </font>
    <font>
      <sz val="10"/>
      <color rgb="FF000080"/>
      <name val="Arial"/>
      <charset val="204"/>
    </font>
    <font>
      <sz val="10"/>
      <color theme="1"/>
      <name val="Arial"/>
      <charset val="204"/>
    </font>
    <font>
      <sz val="12"/>
      <color rgb="FF1D1D1F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5" tint="0.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55"/>
      </right>
      <top style="thin">
        <color indexed="55"/>
      </top>
      <bottom style="thin">
        <color indexed="55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55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/>
      <bottom style="thin">
        <color rgb="FFE1E3EA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/>
      <diagonal/>
    </border>
    <border>
      <left style="thin">
        <color indexed="55"/>
      </left>
      <right style="thin">
        <color indexed="55"/>
      </right>
      <top/>
      <bottom/>
      <diagonal/>
    </border>
    <border>
      <left style="thin">
        <color indexed="55"/>
      </left>
      <right style="thin">
        <color indexed="55"/>
      </right>
      <top/>
      <bottom style="thin">
        <color indexed="55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4" borderId="9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10" applyNumberFormat="0" applyFill="0" applyAlignment="0" applyProtection="0">
      <alignment vertical="center"/>
    </xf>
    <xf numFmtId="0" fontId="12" fillId="0" borderId="10" applyNumberFormat="0" applyFill="0" applyAlignment="0" applyProtection="0">
      <alignment vertical="center"/>
    </xf>
    <xf numFmtId="0" fontId="13" fillId="0" borderId="11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12" applyNumberFormat="0" applyAlignment="0" applyProtection="0">
      <alignment vertical="center"/>
    </xf>
    <xf numFmtId="0" fontId="15" fillId="6" borderId="13" applyNumberFormat="0" applyAlignment="0" applyProtection="0">
      <alignment vertical="center"/>
    </xf>
    <xf numFmtId="0" fontId="16" fillId="6" borderId="12" applyNumberFormat="0" applyAlignment="0" applyProtection="0">
      <alignment vertical="center"/>
    </xf>
    <xf numFmtId="0" fontId="17" fillId="7" borderId="14" applyNumberFormat="0" applyAlignment="0" applyProtection="0">
      <alignment vertical="center"/>
    </xf>
    <xf numFmtId="0" fontId="18" fillId="0" borderId="15" applyNumberFormat="0" applyFill="0" applyAlignment="0" applyProtection="0">
      <alignment vertical="center"/>
    </xf>
    <xf numFmtId="0" fontId="19" fillId="0" borderId="16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</cellStyleXfs>
  <cellXfs count="19">
    <xf numFmtId="0" fontId="0" fillId="0" borderId="0" xfId="0"/>
    <xf numFmtId="49" fontId="1" fillId="0" borderId="0" xfId="0" applyNumberFormat="1" applyFont="1" applyFill="1" applyBorder="1" applyAlignment="1"/>
    <xf numFmtId="0" fontId="1" fillId="0" borderId="0" xfId="0" applyFont="1" applyFill="1" applyBorder="1" applyAlignment="1">
      <alignment vertical="center"/>
    </xf>
    <xf numFmtId="0" fontId="2" fillId="2" borderId="1" xfId="0" applyNumberFormat="1" applyFont="1" applyFill="1" applyBorder="1" applyAlignment="1">
      <alignment vertical="top" wrapText="1"/>
    </xf>
    <xf numFmtId="0" fontId="2" fillId="2" borderId="2" xfId="0" applyNumberFormat="1" applyFont="1" applyFill="1" applyBorder="1" applyAlignment="1">
      <alignment horizontal="left" vertical="top" wrapText="1"/>
    </xf>
    <xf numFmtId="0" fontId="2" fillId="2" borderId="3" xfId="0" applyNumberFormat="1" applyFont="1" applyFill="1" applyBorder="1" applyAlignment="1">
      <alignment vertical="top" wrapText="1"/>
    </xf>
    <xf numFmtId="0" fontId="2" fillId="2" borderId="4" xfId="0" applyNumberFormat="1" applyFont="1" applyFill="1" applyBorder="1" applyAlignment="1">
      <alignment vertical="top" wrapText="1"/>
    </xf>
    <xf numFmtId="0" fontId="2" fillId="2" borderId="4" xfId="0" applyNumberFormat="1" applyFont="1" applyFill="1" applyBorder="1" applyAlignment="1">
      <alignment horizontal="left" vertical="top" wrapText="1"/>
    </xf>
    <xf numFmtId="0" fontId="3" fillId="2" borderId="4" xfId="0" applyNumberFormat="1" applyFont="1" applyFill="1" applyBorder="1" applyAlignment="1">
      <alignment vertical="top" wrapText="1"/>
    </xf>
    <xf numFmtId="0" fontId="4" fillId="0" borderId="0" xfId="0" applyNumberFormat="1" applyFont="1" applyFill="1" applyBorder="1" applyAlignment="1"/>
    <xf numFmtId="0" fontId="5" fillId="3" borderId="0" xfId="0" applyFont="1" applyFill="1" applyAlignment="1"/>
    <xf numFmtId="0" fontId="0" fillId="3" borderId="5" xfId="0" applyFill="1" applyBorder="1"/>
    <xf numFmtId="0" fontId="5" fillId="3" borderId="0" xfId="0" applyFont="1" applyFill="1" applyAlignment="1">
      <alignment horizontal="left"/>
    </xf>
    <xf numFmtId="0" fontId="0" fillId="3" borderId="0" xfId="0" applyFill="1"/>
    <xf numFmtId="0" fontId="2" fillId="2" borderId="6" xfId="0" applyNumberFormat="1" applyFont="1" applyFill="1" applyBorder="1" applyAlignment="1">
      <alignment vertical="top" wrapText="1"/>
    </xf>
    <xf numFmtId="0" fontId="2" fillId="2" borderId="7" xfId="0" applyNumberFormat="1" applyFont="1" applyFill="1" applyBorder="1" applyAlignment="1">
      <alignment vertical="top" wrapText="1"/>
    </xf>
    <xf numFmtId="0" fontId="2" fillId="2" borderId="8" xfId="0" applyNumberFormat="1" applyFont="1" applyFill="1" applyBorder="1" applyAlignment="1">
      <alignment vertical="top" wrapText="1"/>
    </xf>
    <xf numFmtId="0" fontId="5" fillId="0" borderId="0" xfId="0" applyFont="1" applyAlignment="1">
      <alignment wrapText="1"/>
    </xf>
    <xf numFmtId="0" fontId="5" fillId="0" borderId="0" xfId="0" applyFont="1"/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105"/>
  <sheetViews>
    <sheetView tabSelected="1" zoomScale="63" zoomScaleNormal="63" topLeftCell="F71" workbookViewId="0">
      <selection activeCell="K83" sqref="K83"/>
    </sheetView>
  </sheetViews>
  <sheetFormatPr defaultColWidth="9" defaultRowHeight="14.5"/>
  <cols>
    <col min="2" max="2" width="16.1818181818182" customWidth="1"/>
    <col min="3" max="3" width="23" customWidth="1"/>
    <col min="4" max="4" width="20.9090909090909" customWidth="1"/>
    <col min="5" max="5" width="28.2727272727273" customWidth="1"/>
    <col min="6" max="6" width="25.1818181818182" customWidth="1"/>
    <col min="7" max="7" width="19.5454545454545" customWidth="1"/>
    <col min="8" max="8" width="14.7272727272727" customWidth="1"/>
    <col min="9" max="9" width="29.2909090909091" customWidth="1"/>
    <col min="11" max="11" width="13.3636363636364" customWidth="1"/>
  </cols>
  <sheetData>
    <row r="1" spans="1:9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t="s">
        <v>6</v>
      </c>
      <c r="H1" t="s">
        <v>7</v>
      </c>
      <c r="I1" t="s">
        <v>8</v>
      </c>
    </row>
    <row r="2" ht="15.5" spans="1:12">
      <c r="A2" s="3">
        <v>2000</v>
      </c>
      <c r="B2" s="4">
        <v>1</v>
      </c>
      <c r="C2" s="2">
        <v>12.1</v>
      </c>
      <c r="D2" s="2">
        <v>124.8</v>
      </c>
      <c r="E2" s="2">
        <v>2180</v>
      </c>
      <c r="F2" s="2">
        <v>2850</v>
      </c>
      <c r="H2">
        <v>168590</v>
      </c>
      <c r="I2">
        <v>2655</v>
      </c>
      <c r="J2" s="10"/>
      <c r="K2" s="10"/>
      <c r="L2" s="11"/>
    </row>
    <row r="3" ht="15.5" spans="1:12">
      <c r="A3" s="3">
        <v>2000</v>
      </c>
      <c r="B3" s="4">
        <v>2</v>
      </c>
      <c r="C3" s="2">
        <v>12.1</v>
      </c>
      <c r="D3" s="2">
        <v>124.8</v>
      </c>
      <c r="E3" s="2">
        <v>2180</v>
      </c>
      <c r="F3" s="2">
        <v>2850</v>
      </c>
      <c r="G3">
        <f>C3-C2</f>
        <v>0</v>
      </c>
      <c r="J3" s="10"/>
      <c r="K3" s="10"/>
      <c r="L3" s="11"/>
    </row>
    <row r="4" ht="15.5" spans="1:12">
      <c r="A4" s="3">
        <v>2000</v>
      </c>
      <c r="B4" s="4">
        <v>3</v>
      </c>
      <c r="C4" s="2">
        <v>12.1</v>
      </c>
      <c r="D4" s="2">
        <v>124.8</v>
      </c>
      <c r="E4" s="2">
        <v>2180</v>
      </c>
      <c r="F4" s="2">
        <v>2850</v>
      </c>
      <c r="G4">
        <f t="shared" ref="G4:G35" si="0">C4-C3</f>
        <v>0</v>
      </c>
      <c r="J4" s="10"/>
      <c r="K4" s="10"/>
      <c r="L4" s="11"/>
    </row>
    <row r="5" ht="15.5" spans="1:12">
      <c r="A5" s="3">
        <v>2000</v>
      </c>
      <c r="B5" s="4">
        <v>4</v>
      </c>
      <c r="C5" s="2">
        <v>12.1</v>
      </c>
      <c r="D5" s="2">
        <v>124.8</v>
      </c>
      <c r="E5" s="2">
        <v>2180</v>
      </c>
      <c r="F5" s="2">
        <v>2850</v>
      </c>
      <c r="G5">
        <f t="shared" si="0"/>
        <v>0</v>
      </c>
      <c r="J5" s="10"/>
      <c r="K5" s="10"/>
      <c r="L5" s="11"/>
    </row>
    <row r="6" ht="15.5" spans="1:12">
      <c r="A6" s="5">
        <v>2001</v>
      </c>
      <c r="B6" s="4">
        <v>1</v>
      </c>
      <c r="C6" s="2">
        <v>10.8</v>
      </c>
      <c r="D6" s="2">
        <v>118.6</v>
      </c>
      <c r="E6" s="2">
        <v>1850</v>
      </c>
      <c r="F6" s="2">
        <v>3210</v>
      </c>
      <c r="G6">
        <f t="shared" si="0"/>
        <v>-1.3</v>
      </c>
      <c r="H6">
        <v>194230</v>
      </c>
      <c r="I6">
        <v>2662</v>
      </c>
      <c r="J6" s="10"/>
      <c r="K6" s="10"/>
      <c r="L6" s="11"/>
    </row>
    <row r="7" ht="15.5" spans="1:12">
      <c r="A7" s="6">
        <v>2001</v>
      </c>
      <c r="B7" s="7">
        <v>2</v>
      </c>
      <c r="C7" s="2">
        <v>10.8</v>
      </c>
      <c r="D7" s="2">
        <v>118.6</v>
      </c>
      <c r="E7" s="2">
        <v>1850</v>
      </c>
      <c r="F7" s="2">
        <v>3210</v>
      </c>
      <c r="G7">
        <f t="shared" si="0"/>
        <v>0</v>
      </c>
      <c r="J7" s="10"/>
      <c r="K7" s="10"/>
      <c r="L7" s="11"/>
    </row>
    <row r="8" ht="15.5" spans="1:12">
      <c r="A8" s="6">
        <v>2001</v>
      </c>
      <c r="B8" s="7">
        <v>3</v>
      </c>
      <c r="C8" s="2">
        <v>10.8</v>
      </c>
      <c r="D8" s="2">
        <v>118.6</v>
      </c>
      <c r="E8" s="2">
        <v>1850</v>
      </c>
      <c r="F8" s="2">
        <v>3210</v>
      </c>
      <c r="G8">
        <f t="shared" si="0"/>
        <v>0</v>
      </c>
      <c r="J8" s="10"/>
      <c r="K8" s="10"/>
      <c r="L8" s="11"/>
    </row>
    <row r="9" ht="15.5" spans="1:12">
      <c r="A9" s="6">
        <v>2001</v>
      </c>
      <c r="B9" s="7">
        <v>4</v>
      </c>
      <c r="C9" s="2">
        <v>10.8</v>
      </c>
      <c r="D9" s="2">
        <v>118.6</v>
      </c>
      <c r="E9" s="2">
        <v>1850</v>
      </c>
      <c r="F9" s="2">
        <v>3210</v>
      </c>
      <c r="G9">
        <f t="shared" si="0"/>
        <v>0</v>
      </c>
      <c r="J9" s="10"/>
      <c r="K9" s="10"/>
      <c r="L9" s="11"/>
    </row>
    <row r="10" ht="15.5" spans="1:12">
      <c r="A10" s="6">
        <v>2002</v>
      </c>
      <c r="B10" s="7">
        <v>1</v>
      </c>
      <c r="C10" s="2">
        <v>9.6</v>
      </c>
      <c r="D10" s="2">
        <v>115.4</v>
      </c>
      <c r="E10" s="2">
        <v>3560</v>
      </c>
      <c r="F10" s="2">
        <v>3680</v>
      </c>
      <c r="G10">
        <f t="shared" si="0"/>
        <v>-1.2</v>
      </c>
      <c r="H10">
        <v>223450</v>
      </c>
      <c r="I10">
        <v>2670</v>
      </c>
      <c r="J10" s="10"/>
      <c r="K10" s="10"/>
      <c r="L10" s="11"/>
    </row>
    <row r="11" ht="15.5" spans="1:12">
      <c r="A11" s="6">
        <v>2002</v>
      </c>
      <c r="B11" s="7">
        <v>2</v>
      </c>
      <c r="C11" s="2">
        <v>9.6</v>
      </c>
      <c r="D11" s="2">
        <v>115.4</v>
      </c>
      <c r="E11" s="2">
        <v>3560</v>
      </c>
      <c r="F11" s="2">
        <v>3680</v>
      </c>
      <c r="G11">
        <f t="shared" si="0"/>
        <v>0</v>
      </c>
      <c r="J11" s="10"/>
      <c r="K11" s="10"/>
      <c r="L11" s="12"/>
    </row>
    <row r="12" ht="15.5" spans="1:12">
      <c r="A12" s="6">
        <v>2002</v>
      </c>
      <c r="B12" s="7">
        <v>3</v>
      </c>
      <c r="C12" s="2">
        <v>9.6</v>
      </c>
      <c r="D12" s="2">
        <v>115.4</v>
      </c>
      <c r="E12" s="2">
        <v>3560</v>
      </c>
      <c r="F12" s="2">
        <v>3680</v>
      </c>
      <c r="G12">
        <f t="shared" si="0"/>
        <v>0</v>
      </c>
      <c r="J12" s="10"/>
      <c r="K12" s="10"/>
      <c r="L12" s="11"/>
    </row>
    <row r="13" ht="15.5" spans="1:12">
      <c r="A13" s="6">
        <v>2002</v>
      </c>
      <c r="B13" s="7">
        <v>4</v>
      </c>
      <c r="C13" s="2">
        <v>9.6</v>
      </c>
      <c r="D13" s="2">
        <v>115.4</v>
      </c>
      <c r="E13" s="2">
        <v>3560</v>
      </c>
      <c r="F13" s="2">
        <v>3680</v>
      </c>
      <c r="G13">
        <f t="shared" si="0"/>
        <v>0</v>
      </c>
      <c r="J13" s="10"/>
      <c r="K13" s="10"/>
      <c r="L13" s="11"/>
    </row>
    <row r="14" ht="15.5" spans="1:12">
      <c r="A14" s="6">
        <v>2003</v>
      </c>
      <c r="B14" s="7">
        <v>1</v>
      </c>
      <c r="C14" s="2">
        <v>8.4</v>
      </c>
      <c r="D14" s="2">
        <v>120.2</v>
      </c>
      <c r="E14" s="2">
        <v>4420</v>
      </c>
      <c r="F14" s="2">
        <v>4150</v>
      </c>
      <c r="G14">
        <f t="shared" si="0"/>
        <v>-1.2</v>
      </c>
      <c r="H14">
        <v>261870</v>
      </c>
      <c r="I14">
        <v>2675</v>
      </c>
      <c r="J14" s="10"/>
      <c r="K14" s="10"/>
      <c r="L14" s="11"/>
    </row>
    <row r="15" ht="15.5" spans="1:12">
      <c r="A15" s="6">
        <v>2003</v>
      </c>
      <c r="B15" s="7">
        <v>2</v>
      </c>
      <c r="C15" s="2">
        <v>8.4</v>
      </c>
      <c r="D15" s="2">
        <v>120.2</v>
      </c>
      <c r="E15" s="2">
        <v>4420</v>
      </c>
      <c r="F15" s="2">
        <v>4150</v>
      </c>
      <c r="G15">
        <f t="shared" si="0"/>
        <v>0</v>
      </c>
      <c r="J15" s="10"/>
      <c r="K15" s="10"/>
      <c r="L15" s="11"/>
    </row>
    <row r="16" ht="15.5" spans="1:12">
      <c r="A16" s="6">
        <v>2003</v>
      </c>
      <c r="B16" s="7">
        <v>3</v>
      </c>
      <c r="C16" s="2">
        <v>8.4</v>
      </c>
      <c r="D16" s="2">
        <v>120.2</v>
      </c>
      <c r="E16" s="2">
        <v>4420</v>
      </c>
      <c r="F16" s="2">
        <v>4150</v>
      </c>
      <c r="G16">
        <f t="shared" si="0"/>
        <v>0</v>
      </c>
      <c r="J16" s="10"/>
      <c r="K16" s="10"/>
      <c r="L16" s="11"/>
    </row>
    <row r="17" ht="15.5" spans="1:12">
      <c r="A17" s="6">
        <v>2003</v>
      </c>
      <c r="B17" s="7">
        <v>4</v>
      </c>
      <c r="C17" s="2">
        <v>8.4</v>
      </c>
      <c r="D17" s="2">
        <v>120.2</v>
      </c>
      <c r="E17" s="2">
        <v>4420</v>
      </c>
      <c r="F17" s="2">
        <v>4150</v>
      </c>
      <c r="G17">
        <f t="shared" si="0"/>
        <v>0</v>
      </c>
      <c r="J17" s="10"/>
      <c r="K17" s="10"/>
      <c r="L17" s="11"/>
    </row>
    <row r="18" ht="15.5" spans="1:12">
      <c r="A18" s="6">
        <v>2004</v>
      </c>
      <c r="B18" s="7">
        <v>1</v>
      </c>
      <c r="C18" s="2">
        <v>7.5</v>
      </c>
      <c r="D18" s="2">
        <v>126.7</v>
      </c>
      <c r="E18" s="2">
        <v>5580</v>
      </c>
      <c r="F18" s="2">
        <v>4890</v>
      </c>
      <c r="G18">
        <f t="shared" si="0"/>
        <v>-0.9</v>
      </c>
      <c r="H18">
        <v>312450</v>
      </c>
      <c r="I18">
        <v>2680</v>
      </c>
      <c r="J18" s="10"/>
      <c r="K18" s="10"/>
      <c r="L18" s="11"/>
    </row>
    <row r="19" ht="15.5" spans="1:12">
      <c r="A19" s="6">
        <v>2004</v>
      </c>
      <c r="B19" s="7">
        <v>2</v>
      </c>
      <c r="C19" s="2">
        <v>7.5</v>
      </c>
      <c r="D19" s="2">
        <v>126.7</v>
      </c>
      <c r="E19" s="2">
        <v>5580</v>
      </c>
      <c r="F19" s="2">
        <v>4890</v>
      </c>
      <c r="G19">
        <f t="shared" si="0"/>
        <v>0</v>
      </c>
      <c r="J19" s="10"/>
      <c r="K19" s="10"/>
      <c r="L19" s="11"/>
    </row>
    <row r="20" ht="15.5" spans="1:12">
      <c r="A20" s="6">
        <v>2004</v>
      </c>
      <c r="B20" s="7">
        <v>3</v>
      </c>
      <c r="C20" s="2">
        <v>7.5</v>
      </c>
      <c r="D20" s="2">
        <v>126.7</v>
      </c>
      <c r="E20" s="2">
        <v>5580</v>
      </c>
      <c r="F20" s="2">
        <v>4890</v>
      </c>
      <c r="G20">
        <f t="shared" si="0"/>
        <v>0</v>
      </c>
      <c r="J20" s="10"/>
      <c r="K20" s="10"/>
      <c r="L20" s="11"/>
    </row>
    <row r="21" ht="15.5" spans="1:12">
      <c r="A21" s="6">
        <v>2004</v>
      </c>
      <c r="B21" s="7">
        <v>4</v>
      </c>
      <c r="C21" s="2">
        <v>7.5</v>
      </c>
      <c r="D21" s="2">
        <v>126.7</v>
      </c>
      <c r="E21" s="2">
        <v>5580</v>
      </c>
      <c r="F21" s="2">
        <v>4890</v>
      </c>
      <c r="G21">
        <f t="shared" si="0"/>
        <v>0</v>
      </c>
      <c r="J21" s="10"/>
      <c r="K21" s="10"/>
      <c r="L21" s="11"/>
    </row>
    <row r="22" ht="15.5" spans="1:12">
      <c r="A22" s="8">
        <v>2005</v>
      </c>
      <c r="B22" s="7">
        <v>1</v>
      </c>
      <c r="C22" s="2">
        <v>6.9</v>
      </c>
      <c r="D22" s="2">
        <v>130.3</v>
      </c>
      <c r="E22" s="2">
        <v>7020</v>
      </c>
      <c r="F22" s="2">
        <v>5740</v>
      </c>
      <c r="G22">
        <f t="shared" si="0"/>
        <v>-0.6</v>
      </c>
      <c r="H22">
        <v>378920</v>
      </c>
      <c r="I22">
        <v>2678</v>
      </c>
      <c r="J22" s="10"/>
      <c r="K22" s="10"/>
      <c r="L22" s="12"/>
    </row>
    <row r="23" ht="15.5" spans="1:12">
      <c r="A23" s="6">
        <v>2005</v>
      </c>
      <c r="B23" s="7">
        <v>2</v>
      </c>
      <c r="C23" s="2">
        <v>6.9</v>
      </c>
      <c r="D23" s="2">
        <v>130.3</v>
      </c>
      <c r="E23" s="2">
        <v>7020</v>
      </c>
      <c r="F23" s="2">
        <v>5740</v>
      </c>
      <c r="G23">
        <f t="shared" si="0"/>
        <v>0</v>
      </c>
      <c r="J23" s="10"/>
      <c r="K23" s="10"/>
      <c r="L23" s="11"/>
    </row>
    <row r="24" ht="15.5" spans="1:12">
      <c r="A24" s="6">
        <v>2005</v>
      </c>
      <c r="B24" s="7">
        <v>3</v>
      </c>
      <c r="C24" s="2">
        <v>6.9</v>
      </c>
      <c r="D24" s="2">
        <v>130.3</v>
      </c>
      <c r="E24" s="2">
        <v>7020</v>
      </c>
      <c r="F24" s="2">
        <v>5740</v>
      </c>
      <c r="G24">
        <f t="shared" si="0"/>
        <v>0</v>
      </c>
      <c r="J24" s="10"/>
      <c r="K24" s="10"/>
      <c r="L24" s="11"/>
    </row>
    <row r="25" ht="15.5" spans="1:12">
      <c r="A25" s="6">
        <v>2005</v>
      </c>
      <c r="B25" s="7">
        <v>4</v>
      </c>
      <c r="C25" s="2">
        <v>6.9</v>
      </c>
      <c r="D25" s="2">
        <v>130.3</v>
      </c>
      <c r="E25" s="2">
        <v>7020</v>
      </c>
      <c r="F25" s="2">
        <v>5740</v>
      </c>
      <c r="G25">
        <f t="shared" si="0"/>
        <v>0</v>
      </c>
      <c r="J25" s="10"/>
      <c r="K25" s="10"/>
      <c r="L25" s="12"/>
    </row>
    <row r="26" ht="15.5" spans="1:12">
      <c r="A26" s="6">
        <v>2006</v>
      </c>
      <c r="B26" s="7">
        <v>1</v>
      </c>
      <c r="C26" s="2">
        <v>6.4</v>
      </c>
      <c r="D26" s="2">
        <v>128.9</v>
      </c>
      <c r="E26" s="2">
        <v>8650</v>
      </c>
      <c r="F26" s="2">
        <v>6820</v>
      </c>
      <c r="G26">
        <f t="shared" si="0"/>
        <v>-0.5</v>
      </c>
      <c r="H26">
        <v>457340</v>
      </c>
      <c r="I26">
        <v>2670</v>
      </c>
      <c r="J26" s="10"/>
      <c r="K26" s="10"/>
      <c r="L26" s="13"/>
    </row>
    <row r="27" spans="1:7">
      <c r="A27" s="6">
        <v>2006</v>
      </c>
      <c r="B27" s="7">
        <v>2</v>
      </c>
      <c r="C27" s="2">
        <v>6.4</v>
      </c>
      <c r="D27" s="2">
        <v>128.9</v>
      </c>
      <c r="E27" s="2">
        <v>8650</v>
      </c>
      <c r="F27" s="2">
        <v>6820</v>
      </c>
      <c r="G27">
        <f t="shared" si="0"/>
        <v>0</v>
      </c>
    </row>
    <row r="28" spans="1:7">
      <c r="A28" s="6">
        <v>2006</v>
      </c>
      <c r="B28" s="7">
        <v>3</v>
      </c>
      <c r="C28" s="2">
        <v>6.4</v>
      </c>
      <c r="D28" s="2">
        <v>128.9</v>
      </c>
      <c r="E28" s="2">
        <v>8650</v>
      </c>
      <c r="F28" s="2">
        <v>6820</v>
      </c>
      <c r="G28">
        <f t="shared" si="0"/>
        <v>0</v>
      </c>
    </row>
    <row r="29" spans="1:7">
      <c r="A29" s="6">
        <v>2006</v>
      </c>
      <c r="B29" s="7">
        <v>4</v>
      </c>
      <c r="C29" s="2">
        <v>6.4</v>
      </c>
      <c r="D29" s="2">
        <v>128.9</v>
      </c>
      <c r="E29" s="2">
        <v>8650</v>
      </c>
      <c r="F29" s="2">
        <v>6820</v>
      </c>
      <c r="G29">
        <f t="shared" si="0"/>
        <v>0</v>
      </c>
    </row>
    <row r="30" spans="1:9">
      <c r="A30" s="6">
        <v>2007</v>
      </c>
      <c r="B30" s="7">
        <v>1</v>
      </c>
      <c r="C30" s="2">
        <v>5.8</v>
      </c>
      <c r="D30" s="2">
        <v>125.4</v>
      </c>
      <c r="E30" s="2">
        <v>10840</v>
      </c>
      <c r="F30" s="2">
        <v>8150</v>
      </c>
      <c r="G30">
        <f t="shared" si="0"/>
        <v>-0.600000000000001</v>
      </c>
      <c r="H30">
        <v>548760</v>
      </c>
      <c r="I30">
        <v>2658</v>
      </c>
    </row>
    <row r="31" spans="1:7">
      <c r="A31" s="6">
        <v>2007</v>
      </c>
      <c r="B31" s="7">
        <v>2</v>
      </c>
      <c r="C31" s="2">
        <v>5.8</v>
      </c>
      <c r="D31" s="2">
        <v>125.4</v>
      </c>
      <c r="E31" s="2">
        <v>10840</v>
      </c>
      <c r="F31" s="2">
        <v>8150</v>
      </c>
      <c r="G31">
        <f t="shared" si="0"/>
        <v>0</v>
      </c>
    </row>
    <row r="32" spans="1:7">
      <c r="A32" s="6">
        <v>2007</v>
      </c>
      <c r="B32" s="7">
        <v>3</v>
      </c>
      <c r="C32" s="2">
        <v>5.8</v>
      </c>
      <c r="D32" s="2">
        <v>125.4</v>
      </c>
      <c r="E32" s="2">
        <v>10840</v>
      </c>
      <c r="F32" s="2">
        <v>8150</v>
      </c>
      <c r="G32">
        <f t="shared" si="0"/>
        <v>0</v>
      </c>
    </row>
    <row r="33" spans="1:7">
      <c r="A33" s="6">
        <v>2007</v>
      </c>
      <c r="B33" s="7">
        <v>4</v>
      </c>
      <c r="C33" s="2">
        <v>5.8</v>
      </c>
      <c r="D33" s="2">
        <v>125.4</v>
      </c>
      <c r="E33" s="2">
        <v>10840</v>
      </c>
      <c r="F33" s="2">
        <v>8150</v>
      </c>
      <c r="G33">
        <f t="shared" si="0"/>
        <v>0</v>
      </c>
    </row>
    <row r="34" spans="1:9">
      <c r="A34" s="6">
        <v>2008</v>
      </c>
      <c r="B34" s="7">
        <v>1</v>
      </c>
      <c r="C34" s="2">
        <v>5.5</v>
      </c>
      <c r="D34" s="2">
        <v>112.6</v>
      </c>
      <c r="E34" s="2">
        <v>13280</v>
      </c>
      <c r="F34" s="2">
        <v>9870</v>
      </c>
      <c r="G34">
        <f t="shared" si="0"/>
        <v>-0.3</v>
      </c>
      <c r="H34">
        <v>672150</v>
      </c>
      <c r="I34">
        <v>2645</v>
      </c>
    </row>
    <row r="35" spans="1:7">
      <c r="A35" s="6">
        <v>2008</v>
      </c>
      <c r="B35" s="7">
        <v>2</v>
      </c>
      <c r="C35" s="2">
        <v>5.5</v>
      </c>
      <c r="D35" s="2">
        <v>112.6</v>
      </c>
      <c r="E35" s="2">
        <v>13280</v>
      </c>
      <c r="F35" s="2">
        <v>9870</v>
      </c>
      <c r="G35">
        <f t="shared" si="0"/>
        <v>0</v>
      </c>
    </row>
    <row r="36" spans="1:7">
      <c r="A36" s="6">
        <v>2008</v>
      </c>
      <c r="B36" s="7">
        <v>3</v>
      </c>
      <c r="C36" s="2">
        <v>5.5</v>
      </c>
      <c r="D36" s="2">
        <v>112.6</v>
      </c>
      <c r="E36" s="2">
        <v>13280</v>
      </c>
      <c r="F36" s="2">
        <v>9870</v>
      </c>
      <c r="G36">
        <f t="shared" ref="G36:G67" si="1">C36-C35</f>
        <v>0</v>
      </c>
    </row>
    <row r="37" spans="1:7">
      <c r="A37" s="6">
        <v>2008</v>
      </c>
      <c r="B37" s="7">
        <v>4</v>
      </c>
      <c r="C37" s="2">
        <v>5.5</v>
      </c>
      <c r="D37" s="2">
        <v>112.6</v>
      </c>
      <c r="E37" s="2">
        <v>13280</v>
      </c>
      <c r="F37" s="2">
        <v>9870</v>
      </c>
      <c r="G37">
        <f t="shared" si="1"/>
        <v>0</v>
      </c>
    </row>
    <row r="38" spans="1:9">
      <c r="A38" s="6">
        <v>2009</v>
      </c>
      <c r="B38" s="7">
        <v>1</v>
      </c>
      <c r="C38" s="2">
        <v>7.2</v>
      </c>
      <c r="D38" s="2">
        <v>86.4</v>
      </c>
      <c r="E38" s="2">
        <v>14320</v>
      </c>
      <c r="F38" s="2">
        <v>9240</v>
      </c>
      <c r="G38">
        <f t="shared" si="1"/>
        <v>1.7</v>
      </c>
      <c r="H38">
        <v>645320</v>
      </c>
      <c r="I38">
        <v>2630</v>
      </c>
    </row>
    <row r="39" spans="1:7">
      <c r="A39" s="6">
        <v>2009</v>
      </c>
      <c r="B39" s="7">
        <v>2</v>
      </c>
      <c r="C39" s="2">
        <v>7.2</v>
      </c>
      <c r="D39" s="2">
        <v>86.4</v>
      </c>
      <c r="E39" s="2">
        <v>14320</v>
      </c>
      <c r="F39" s="2">
        <v>9240</v>
      </c>
      <c r="G39">
        <f t="shared" si="1"/>
        <v>0</v>
      </c>
    </row>
    <row r="40" spans="1:7">
      <c r="A40" s="6">
        <v>2009</v>
      </c>
      <c r="B40" s="7">
        <v>3</v>
      </c>
      <c r="C40" s="2">
        <v>7.2</v>
      </c>
      <c r="D40" s="2">
        <v>86.4</v>
      </c>
      <c r="E40" s="2">
        <v>14320</v>
      </c>
      <c r="F40" s="2">
        <v>9240</v>
      </c>
      <c r="G40">
        <f t="shared" si="1"/>
        <v>0</v>
      </c>
    </row>
    <row r="41" spans="1:7">
      <c r="A41" s="6">
        <v>2009</v>
      </c>
      <c r="B41" s="7">
        <v>4</v>
      </c>
      <c r="C41" s="2">
        <v>7.2</v>
      </c>
      <c r="D41" s="2">
        <v>86.4</v>
      </c>
      <c r="E41" s="2">
        <v>14320</v>
      </c>
      <c r="F41" s="2">
        <v>9240</v>
      </c>
      <c r="G41">
        <f t="shared" si="1"/>
        <v>0</v>
      </c>
    </row>
    <row r="42" spans="1:9">
      <c r="A42" s="6">
        <v>2010</v>
      </c>
      <c r="B42" s="7">
        <v>1</v>
      </c>
      <c r="C42" s="2">
        <v>8.1</v>
      </c>
      <c r="D42" s="9">
        <v>82.8</v>
      </c>
      <c r="E42" s="9">
        <v>14850</v>
      </c>
      <c r="F42" s="9">
        <v>32440.02</v>
      </c>
      <c r="G42">
        <f t="shared" si="1"/>
        <v>0.899999999999999</v>
      </c>
      <c r="H42">
        <v>782450</v>
      </c>
      <c r="I42">
        <v>2615</v>
      </c>
    </row>
    <row r="43" spans="1:7">
      <c r="A43" s="6">
        <v>2010</v>
      </c>
      <c r="B43" s="7">
        <v>2</v>
      </c>
      <c r="C43" s="2">
        <v>6.1</v>
      </c>
      <c r="D43" s="9">
        <v>95.1</v>
      </c>
      <c r="E43" s="9">
        <v>15620</v>
      </c>
      <c r="F43" s="9">
        <v>32637.61</v>
      </c>
      <c r="G43">
        <f t="shared" si="1"/>
        <v>-2</v>
      </c>
    </row>
    <row r="44" spans="1:7">
      <c r="A44" s="6">
        <v>2010</v>
      </c>
      <c r="B44" s="7">
        <v>3</v>
      </c>
      <c r="C44" s="2">
        <v>5.9</v>
      </c>
      <c r="D44" s="9">
        <v>98.7</v>
      </c>
      <c r="E44" s="9">
        <v>16340</v>
      </c>
      <c r="F44" s="9">
        <v>33392.03</v>
      </c>
      <c r="G44">
        <f t="shared" si="1"/>
        <v>-0.199999999999999</v>
      </c>
    </row>
    <row r="45" spans="1:7">
      <c r="A45" s="6">
        <v>2010</v>
      </c>
      <c r="B45" s="7">
        <v>4</v>
      </c>
      <c r="C45" s="2">
        <v>5</v>
      </c>
      <c r="D45" s="9">
        <v>103.3</v>
      </c>
      <c r="E45" s="9">
        <v>17210</v>
      </c>
      <c r="F45" s="9">
        <v>34315.02</v>
      </c>
      <c r="G45">
        <f t="shared" si="1"/>
        <v>-0.9</v>
      </c>
    </row>
    <row r="46" spans="1:9">
      <c r="A46" s="6">
        <v>2011</v>
      </c>
      <c r="B46" s="7">
        <v>1</v>
      </c>
      <c r="C46" s="2">
        <v>5.4</v>
      </c>
      <c r="D46" s="9">
        <v>101.5</v>
      </c>
      <c r="E46" s="9">
        <v>17980</v>
      </c>
      <c r="F46" s="9">
        <v>33753.61</v>
      </c>
      <c r="G46">
        <f t="shared" si="1"/>
        <v>0.4</v>
      </c>
      <c r="H46">
        <v>925670</v>
      </c>
      <c r="I46">
        <v>2595</v>
      </c>
    </row>
    <row r="47" spans="1:7">
      <c r="A47" s="6">
        <v>2011</v>
      </c>
      <c r="B47" s="7">
        <v>2</v>
      </c>
      <c r="C47" s="2">
        <v>4.5</v>
      </c>
      <c r="D47" s="9">
        <v>107.2</v>
      </c>
      <c r="E47" s="9">
        <v>18750</v>
      </c>
      <c r="F47" s="9">
        <v>33497.8</v>
      </c>
      <c r="G47">
        <f t="shared" si="1"/>
        <v>-0.9</v>
      </c>
    </row>
    <row r="48" spans="1:7">
      <c r="A48" s="6">
        <v>2011</v>
      </c>
      <c r="B48" s="7">
        <v>3</v>
      </c>
      <c r="C48" s="2">
        <v>4.2</v>
      </c>
      <c r="D48" s="9">
        <v>108.9</v>
      </c>
      <c r="E48" s="9">
        <v>19420</v>
      </c>
      <c r="F48" s="9">
        <v>34652.16</v>
      </c>
      <c r="G48">
        <f t="shared" si="1"/>
        <v>-0.3</v>
      </c>
    </row>
    <row r="49" spans="1:7">
      <c r="A49" s="6">
        <v>2011</v>
      </c>
      <c r="B49" s="7">
        <v>4</v>
      </c>
      <c r="C49" s="2">
        <v>4.5</v>
      </c>
      <c r="D49" s="9">
        <v>110.6</v>
      </c>
      <c r="E49" s="9">
        <v>20310</v>
      </c>
      <c r="F49" s="9">
        <v>35750.1</v>
      </c>
      <c r="G49">
        <f t="shared" si="1"/>
        <v>0.3</v>
      </c>
    </row>
    <row r="50" spans="1:9">
      <c r="A50" s="6">
        <v>2012</v>
      </c>
      <c r="B50" s="7">
        <v>1</v>
      </c>
      <c r="C50" s="2">
        <v>4.9</v>
      </c>
      <c r="D50" s="9">
        <v>102.3</v>
      </c>
      <c r="E50" s="9">
        <v>20890</v>
      </c>
      <c r="F50" s="9">
        <v>40574.32</v>
      </c>
      <c r="G50">
        <f t="shared" si="1"/>
        <v>0.4</v>
      </c>
      <c r="H50">
        <v>1012340</v>
      </c>
      <c r="I50">
        <v>2570</v>
      </c>
    </row>
    <row r="51" spans="1:7">
      <c r="A51" s="6">
        <v>2012</v>
      </c>
      <c r="B51" s="7">
        <v>2</v>
      </c>
      <c r="C51" s="2">
        <v>4</v>
      </c>
      <c r="D51" s="9">
        <v>106.8</v>
      </c>
      <c r="E51" s="9">
        <v>21740</v>
      </c>
      <c r="F51" s="9">
        <v>44335.65</v>
      </c>
      <c r="G51">
        <f t="shared" si="1"/>
        <v>-0.9</v>
      </c>
    </row>
    <row r="52" spans="1:7">
      <c r="A52" s="6">
        <v>2012</v>
      </c>
      <c r="B52" s="7">
        <v>3</v>
      </c>
      <c r="C52" s="2">
        <v>3.8</v>
      </c>
      <c r="D52" s="9">
        <v>109.4</v>
      </c>
      <c r="E52" s="9">
        <v>22560</v>
      </c>
      <c r="F52" s="9">
        <v>45218.26</v>
      </c>
      <c r="G52">
        <f t="shared" si="1"/>
        <v>-0.2</v>
      </c>
    </row>
    <row r="53" spans="1:7">
      <c r="A53" s="6">
        <v>2012</v>
      </c>
      <c r="B53" s="7">
        <v>4</v>
      </c>
      <c r="C53" s="2">
        <v>3.8</v>
      </c>
      <c r="D53" s="9">
        <v>112</v>
      </c>
      <c r="E53" s="9">
        <v>23480</v>
      </c>
      <c r="F53" s="9">
        <v>45441.7</v>
      </c>
      <c r="G53">
        <f t="shared" si="1"/>
        <v>0</v>
      </c>
    </row>
    <row r="54" spans="1:9">
      <c r="A54" s="6">
        <v>2013</v>
      </c>
      <c r="B54" s="7">
        <v>1</v>
      </c>
      <c r="C54" s="2">
        <v>4.7</v>
      </c>
      <c r="D54" s="9">
        <v>108.7</v>
      </c>
      <c r="E54" s="9">
        <v>24120</v>
      </c>
      <c r="F54" s="9">
        <v>42515.54</v>
      </c>
      <c r="G54">
        <f t="shared" si="1"/>
        <v>0.9</v>
      </c>
      <c r="H54">
        <v>1085230</v>
      </c>
      <c r="I54">
        <v>2540</v>
      </c>
    </row>
    <row r="55" spans="1:7">
      <c r="A55" s="6">
        <v>2013</v>
      </c>
      <c r="B55" s="7">
        <v>2</v>
      </c>
      <c r="C55" s="2">
        <v>3.7</v>
      </c>
      <c r="D55" s="9">
        <v>112.5</v>
      </c>
      <c r="E55" s="9">
        <v>35030</v>
      </c>
      <c r="F55" s="9">
        <v>43580.62</v>
      </c>
      <c r="G55">
        <f t="shared" si="1"/>
        <v>-1</v>
      </c>
    </row>
    <row r="56" spans="1:7">
      <c r="A56" s="6">
        <v>2013</v>
      </c>
      <c r="B56" s="7">
        <v>3</v>
      </c>
      <c r="C56" s="2">
        <v>3.3</v>
      </c>
      <c r="D56" s="9">
        <v>115.2</v>
      </c>
      <c r="E56" s="9">
        <v>25970</v>
      </c>
      <c r="F56" s="9">
        <v>44370.79</v>
      </c>
      <c r="G56">
        <f t="shared" si="1"/>
        <v>-0.4</v>
      </c>
    </row>
    <row r="57" spans="1:7">
      <c r="A57" s="6">
        <v>2013</v>
      </c>
      <c r="B57" s="7">
        <v>4</v>
      </c>
      <c r="C57" s="2">
        <v>4.2</v>
      </c>
      <c r="D57" s="9">
        <v>116.8</v>
      </c>
      <c r="E57" s="9">
        <v>26840</v>
      </c>
      <c r="F57" s="9">
        <v>45223.24</v>
      </c>
      <c r="G57">
        <f t="shared" si="1"/>
        <v>0.9</v>
      </c>
    </row>
    <row r="58" spans="1:9">
      <c r="A58" s="6">
        <v>2014</v>
      </c>
      <c r="B58" s="7">
        <v>1</v>
      </c>
      <c r="C58" s="2">
        <v>4.6</v>
      </c>
      <c r="D58" s="9">
        <v>110.2</v>
      </c>
      <c r="E58" s="9">
        <v>27560</v>
      </c>
      <c r="F58" s="9">
        <v>46512.96</v>
      </c>
      <c r="G58">
        <f t="shared" si="1"/>
        <v>0.399999999999999</v>
      </c>
      <c r="H58">
        <v>1124560</v>
      </c>
      <c r="I58">
        <v>2510</v>
      </c>
    </row>
    <row r="59" spans="1:7">
      <c r="A59" s="6">
        <v>2014</v>
      </c>
      <c r="B59" s="7">
        <v>2</v>
      </c>
      <c r="C59" s="2">
        <v>3.7</v>
      </c>
      <c r="D59" s="9">
        <v>113</v>
      </c>
      <c r="E59" s="9">
        <v>28490</v>
      </c>
      <c r="F59" s="9">
        <v>46664.73</v>
      </c>
      <c r="G59">
        <f t="shared" si="1"/>
        <v>-0.899999999999999</v>
      </c>
    </row>
    <row r="60" spans="1:7">
      <c r="A60" s="6">
        <v>2014</v>
      </c>
      <c r="B60" s="7">
        <v>3</v>
      </c>
      <c r="C60" s="2">
        <v>3.3</v>
      </c>
      <c r="D60" s="9">
        <v>115.5</v>
      </c>
      <c r="E60" s="9">
        <v>29310</v>
      </c>
      <c r="F60" s="9">
        <v>48984.25</v>
      </c>
      <c r="G60">
        <f t="shared" si="1"/>
        <v>-0.4</v>
      </c>
    </row>
    <row r="61" spans="1:7">
      <c r="A61" s="6">
        <v>2014</v>
      </c>
      <c r="B61" s="7">
        <v>4</v>
      </c>
      <c r="C61" s="2">
        <v>4.1</v>
      </c>
      <c r="D61" s="9">
        <v>117.3</v>
      </c>
      <c r="E61" s="9">
        <v>30250</v>
      </c>
      <c r="F61" s="9">
        <v>49477.8</v>
      </c>
      <c r="G61">
        <f t="shared" si="1"/>
        <v>0.8</v>
      </c>
    </row>
    <row r="62" spans="1:9">
      <c r="A62" s="6">
        <v>2015</v>
      </c>
      <c r="B62" s="7">
        <v>1</v>
      </c>
      <c r="C62" s="2">
        <v>4.8</v>
      </c>
      <c r="D62" s="9">
        <v>86.3</v>
      </c>
      <c r="E62" s="9">
        <v>30870</v>
      </c>
      <c r="F62" s="9">
        <v>52465.1</v>
      </c>
      <c r="G62">
        <f t="shared" si="1"/>
        <v>0.7</v>
      </c>
      <c r="H62">
        <v>1156780</v>
      </c>
      <c r="I62">
        <v>2480</v>
      </c>
    </row>
    <row r="63" spans="1:7">
      <c r="A63" s="6">
        <v>2015</v>
      </c>
      <c r="B63" s="7">
        <v>2</v>
      </c>
      <c r="C63" s="2">
        <v>3.9</v>
      </c>
      <c r="D63" s="9">
        <v>93.4</v>
      </c>
      <c r="E63" s="9">
        <v>31640</v>
      </c>
      <c r="F63" s="9">
        <v>53537.25</v>
      </c>
      <c r="G63">
        <f t="shared" si="1"/>
        <v>-0.9</v>
      </c>
    </row>
    <row r="64" spans="1:7">
      <c r="A64" s="6">
        <v>2015</v>
      </c>
      <c r="B64" s="7">
        <v>3</v>
      </c>
      <c r="C64" s="2">
        <v>3.7</v>
      </c>
      <c r="D64" s="9">
        <v>97.1</v>
      </c>
      <c r="E64" s="9">
        <v>32180</v>
      </c>
      <c r="F64" s="9">
        <v>54453.2</v>
      </c>
      <c r="G64">
        <f t="shared" si="1"/>
        <v>-0.2</v>
      </c>
    </row>
    <row r="65" spans="1:7">
      <c r="A65" s="6">
        <v>2015</v>
      </c>
      <c r="B65" s="7">
        <v>4</v>
      </c>
      <c r="C65" s="2">
        <v>3.4</v>
      </c>
      <c r="D65" s="9">
        <v>101.4</v>
      </c>
      <c r="E65" s="9">
        <v>32950</v>
      </c>
      <c r="F65" s="9">
        <v>54974.25</v>
      </c>
      <c r="G65">
        <f t="shared" si="1"/>
        <v>-0.3</v>
      </c>
    </row>
    <row r="66" spans="1:9">
      <c r="A66" s="6">
        <v>2016</v>
      </c>
      <c r="B66" s="7">
        <v>1</v>
      </c>
      <c r="C66" s="2">
        <v>3.7</v>
      </c>
      <c r="D66" s="9">
        <v>95.6</v>
      </c>
      <c r="E66" s="9">
        <v>32410</v>
      </c>
      <c r="F66" s="9">
        <v>51338.42</v>
      </c>
      <c r="G66">
        <f t="shared" si="1"/>
        <v>0.3</v>
      </c>
      <c r="H66">
        <v>1198450</v>
      </c>
      <c r="I66">
        <v>2450</v>
      </c>
    </row>
    <row r="67" spans="1:7">
      <c r="A67" s="6">
        <v>2016</v>
      </c>
      <c r="B67" s="7">
        <v>2</v>
      </c>
      <c r="C67" s="2">
        <v>3.9</v>
      </c>
      <c r="D67" s="9">
        <v>98.2</v>
      </c>
      <c r="E67" s="9">
        <v>33250</v>
      </c>
      <c r="F67" s="9">
        <v>52056.85</v>
      </c>
      <c r="G67">
        <f t="shared" si="1"/>
        <v>0.2</v>
      </c>
    </row>
    <row r="68" spans="1:7">
      <c r="A68" s="6">
        <v>2016</v>
      </c>
      <c r="B68" s="7">
        <v>3</v>
      </c>
      <c r="C68" s="2">
        <v>3.8</v>
      </c>
      <c r="D68" s="9">
        <v>100.5</v>
      </c>
      <c r="E68" s="9">
        <v>34120</v>
      </c>
      <c r="F68" s="9">
        <v>52114</v>
      </c>
      <c r="G68">
        <f t="shared" ref="G68:G100" si="2">C68-C67</f>
        <v>-0.1</v>
      </c>
    </row>
    <row r="69" spans="1:7">
      <c r="A69" s="6">
        <v>2016</v>
      </c>
      <c r="B69" s="7">
        <v>4</v>
      </c>
      <c r="C69" s="2">
        <v>3.6</v>
      </c>
      <c r="D69" s="9">
        <v>102</v>
      </c>
      <c r="E69" s="9">
        <v>35040</v>
      </c>
      <c r="F69" s="9">
        <v>52815.84</v>
      </c>
      <c r="G69">
        <f t="shared" si="2"/>
        <v>-0.2</v>
      </c>
    </row>
    <row r="70" spans="1:9">
      <c r="A70" s="6">
        <v>2017</v>
      </c>
      <c r="B70" s="7">
        <v>1</v>
      </c>
      <c r="C70" s="2">
        <v>3.9</v>
      </c>
      <c r="D70" s="9">
        <v>107.6</v>
      </c>
      <c r="E70" s="9">
        <v>35890</v>
      </c>
      <c r="F70" s="9">
        <v>56343.27</v>
      </c>
      <c r="G70">
        <f t="shared" si="2"/>
        <v>0.3</v>
      </c>
      <c r="H70">
        <v>1285670</v>
      </c>
      <c r="I70">
        <v>2390</v>
      </c>
    </row>
    <row r="71" spans="1:7">
      <c r="A71" s="6">
        <v>2017</v>
      </c>
      <c r="B71" s="7">
        <v>2</v>
      </c>
      <c r="C71" s="2">
        <v>3.7</v>
      </c>
      <c r="D71" s="9">
        <v>109.3</v>
      </c>
      <c r="E71" s="9">
        <v>36720</v>
      </c>
      <c r="F71" s="9">
        <v>56319.94</v>
      </c>
      <c r="G71">
        <f t="shared" si="2"/>
        <v>-0.2</v>
      </c>
    </row>
    <row r="72" spans="1:7">
      <c r="A72" s="6">
        <v>2017</v>
      </c>
      <c r="B72" s="7">
        <v>3</v>
      </c>
      <c r="C72" s="2">
        <v>3</v>
      </c>
      <c r="D72" s="9">
        <v>111</v>
      </c>
      <c r="E72" s="9">
        <v>37640</v>
      </c>
      <c r="F72" s="9">
        <v>56373.09</v>
      </c>
      <c r="G72">
        <f t="shared" si="2"/>
        <v>-0.7</v>
      </c>
    </row>
    <row r="73" spans="1:7">
      <c r="A73" s="6">
        <v>2017</v>
      </c>
      <c r="B73" s="7">
        <v>4</v>
      </c>
      <c r="C73" s="2">
        <v>3.3</v>
      </c>
      <c r="D73" s="9">
        <v>112.5</v>
      </c>
      <c r="E73" s="9">
        <v>38570</v>
      </c>
      <c r="F73" s="9">
        <v>55906.09</v>
      </c>
      <c r="G73">
        <f t="shared" si="2"/>
        <v>0.3</v>
      </c>
    </row>
    <row r="74" spans="1:9">
      <c r="A74" s="6">
        <v>2018</v>
      </c>
      <c r="B74" s="7">
        <v>1</v>
      </c>
      <c r="C74" s="2">
        <v>3.4</v>
      </c>
      <c r="D74" s="9">
        <v>124.3</v>
      </c>
      <c r="E74" s="9">
        <v>39210</v>
      </c>
      <c r="F74" s="9">
        <v>55995.18</v>
      </c>
      <c r="G74">
        <f t="shared" si="2"/>
        <v>0.1</v>
      </c>
      <c r="H74">
        <v>1398230</v>
      </c>
      <c r="I74">
        <v>2360</v>
      </c>
    </row>
    <row r="75" spans="1:7">
      <c r="A75" s="6">
        <v>2018</v>
      </c>
      <c r="B75" s="7">
        <v>2</v>
      </c>
      <c r="C75" s="2">
        <v>3.3</v>
      </c>
      <c r="D75" s="9">
        <v>122.1</v>
      </c>
      <c r="E75" s="9">
        <v>40180</v>
      </c>
      <c r="F75" s="9">
        <v>57861.24</v>
      </c>
      <c r="G75">
        <f t="shared" si="2"/>
        <v>-0.1</v>
      </c>
    </row>
    <row r="76" ht="15.5" spans="1:28">
      <c r="A76" s="6">
        <v>2018</v>
      </c>
      <c r="B76" s="7">
        <v>3</v>
      </c>
      <c r="C76" s="2">
        <v>3.2</v>
      </c>
      <c r="D76" s="9">
        <v>120.8</v>
      </c>
      <c r="E76" s="9">
        <v>41230</v>
      </c>
      <c r="F76" s="9">
        <v>59225.73</v>
      </c>
      <c r="G76">
        <f t="shared" si="2"/>
        <v>-0.0999999999999996</v>
      </c>
      <c r="L76" s="17" t="s">
        <v>9</v>
      </c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  <c r="AA76" s="18"/>
      <c r="AB76" s="18"/>
    </row>
    <row r="77" ht="15.5" spans="1:28">
      <c r="A77" s="6">
        <v>2018</v>
      </c>
      <c r="B77" s="7">
        <v>4</v>
      </c>
      <c r="C77" s="2">
        <v>3.4</v>
      </c>
      <c r="D77" s="9">
        <v>119.5</v>
      </c>
      <c r="E77" s="9">
        <v>42360</v>
      </c>
      <c r="F77" s="9">
        <v>59833.82</v>
      </c>
      <c r="G77">
        <f t="shared" si="2"/>
        <v>0.2</v>
      </c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  <c r="AA77" s="18"/>
      <c r="AB77" s="18"/>
    </row>
    <row r="78" ht="15.5" spans="1:28">
      <c r="A78" s="6">
        <v>2019</v>
      </c>
      <c r="B78" s="7">
        <v>1</v>
      </c>
      <c r="C78" s="2">
        <v>3.4</v>
      </c>
      <c r="D78" s="9">
        <v>104.8</v>
      </c>
      <c r="E78" s="9">
        <v>42890</v>
      </c>
      <c r="F78" s="9">
        <v>64170.01</v>
      </c>
      <c r="G78">
        <f t="shared" si="2"/>
        <v>0</v>
      </c>
      <c r="H78">
        <v>1485450</v>
      </c>
      <c r="I78">
        <v>2335</v>
      </c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  <c r="AA78" s="18"/>
      <c r="AB78" s="18"/>
    </row>
    <row r="79" ht="15.5" spans="1:28">
      <c r="A79" s="6">
        <v>2019</v>
      </c>
      <c r="B79" s="7">
        <v>2</v>
      </c>
      <c r="C79" s="2">
        <v>3.3</v>
      </c>
      <c r="D79" s="9">
        <v>106.2</v>
      </c>
      <c r="E79" s="9">
        <v>43970</v>
      </c>
      <c r="F79" s="9">
        <v>65474.85</v>
      </c>
      <c r="G79">
        <f t="shared" si="2"/>
        <v>-0.1</v>
      </c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  <c r="AA79" s="18"/>
      <c r="AB79" s="18"/>
    </row>
    <row r="80" ht="15.5" spans="1:28">
      <c r="A80" s="6">
        <v>2019</v>
      </c>
      <c r="B80" s="7">
        <v>3</v>
      </c>
      <c r="C80" s="2">
        <v>3.2</v>
      </c>
      <c r="D80" s="9">
        <v>107</v>
      </c>
      <c r="E80" s="9">
        <v>45120</v>
      </c>
      <c r="F80" s="9">
        <v>67004.1</v>
      </c>
      <c r="G80">
        <f t="shared" si="2"/>
        <v>-0.0999999999999996</v>
      </c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  <c r="AA80" s="18"/>
      <c r="AB80" s="18"/>
    </row>
    <row r="81" ht="15.5" spans="1:28">
      <c r="A81" s="6">
        <v>2019</v>
      </c>
      <c r="B81" s="7">
        <v>4</v>
      </c>
      <c r="C81" s="2">
        <v>3.3</v>
      </c>
      <c r="D81" s="9">
        <v>108.3</v>
      </c>
      <c r="E81" s="9">
        <v>46280</v>
      </c>
      <c r="F81" s="9">
        <v>68329.8</v>
      </c>
      <c r="G81">
        <f t="shared" si="2"/>
        <v>0.0999999999999996</v>
      </c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  <c r="AA81" s="18"/>
      <c r="AB81" s="18"/>
    </row>
    <row r="82" ht="15.5" spans="1:28">
      <c r="A82" s="6">
        <v>2020</v>
      </c>
      <c r="B82" s="7">
        <v>1</v>
      </c>
      <c r="C82" s="2">
        <v>3.2</v>
      </c>
      <c r="D82" s="9">
        <v>93.4</v>
      </c>
      <c r="E82" s="9">
        <v>46750</v>
      </c>
      <c r="F82" s="9">
        <v>69929.23</v>
      </c>
      <c r="G82">
        <f t="shared" si="2"/>
        <v>-0.0999999999999996</v>
      </c>
      <c r="H82">
        <v>1456120</v>
      </c>
      <c r="I82">
        <v>2310</v>
      </c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  <c r="AA82" s="18"/>
      <c r="AB82" s="18"/>
    </row>
    <row r="83" ht="15.5" spans="1:28">
      <c r="A83" s="6">
        <v>2020</v>
      </c>
      <c r="B83" s="7">
        <v>2</v>
      </c>
      <c r="C83" s="2">
        <v>3.9</v>
      </c>
      <c r="D83" s="9">
        <v>89.7</v>
      </c>
      <c r="E83" s="9">
        <v>47320</v>
      </c>
      <c r="F83" s="9">
        <v>70908.67</v>
      </c>
      <c r="G83">
        <f t="shared" si="2"/>
        <v>0.7</v>
      </c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  <c r="AA83" s="18"/>
      <c r="AB83" s="18"/>
    </row>
    <row r="84" ht="15.5" spans="1:28">
      <c r="A84" s="6">
        <v>2020</v>
      </c>
      <c r="B84" s="7">
        <v>3</v>
      </c>
      <c r="C84" s="2">
        <v>4</v>
      </c>
      <c r="D84" s="9">
        <v>92.1</v>
      </c>
      <c r="E84" s="9">
        <v>48140</v>
      </c>
      <c r="F84" s="9">
        <v>72851.74</v>
      </c>
      <c r="G84">
        <f t="shared" si="2"/>
        <v>0.1</v>
      </c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  <c r="AA84" s="18"/>
      <c r="AB84" s="18"/>
    </row>
    <row r="85" ht="15.5" spans="1:28">
      <c r="A85" s="6">
        <v>2020</v>
      </c>
      <c r="B85" s="7">
        <v>4</v>
      </c>
      <c r="C85" s="2">
        <v>3.5</v>
      </c>
      <c r="D85" s="9">
        <v>95</v>
      </c>
      <c r="E85" s="9">
        <v>49210</v>
      </c>
      <c r="F85" s="9">
        <v>75880</v>
      </c>
      <c r="G85">
        <f t="shared" si="2"/>
        <v>-0.5</v>
      </c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  <c r="AA85" s="18"/>
      <c r="AB85" s="18"/>
    </row>
    <row r="86" ht="15.5" spans="1:28">
      <c r="A86" s="6">
        <v>2021</v>
      </c>
      <c r="B86" s="7">
        <v>1</v>
      </c>
      <c r="C86" s="2">
        <v>2.9</v>
      </c>
      <c r="D86" s="9">
        <v>115.3</v>
      </c>
      <c r="E86" s="9">
        <v>49860</v>
      </c>
      <c r="F86" s="9">
        <v>88227.36</v>
      </c>
      <c r="G86">
        <f t="shared" si="2"/>
        <v>-0.6</v>
      </c>
      <c r="H86">
        <v>1678940</v>
      </c>
      <c r="I86">
        <v>2285</v>
      </c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  <c r="AA86" s="18"/>
      <c r="AB86" s="18"/>
    </row>
    <row r="87" spans="1:28">
      <c r="A87" s="6">
        <v>2021</v>
      </c>
      <c r="B87" s="7">
        <v>2</v>
      </c>
      <c r="C87" s="2">
        <v>2.7</v>
      </c>
      <c r="D87" s="9">
        <v>118.5</v>
      </c>
      <c r="E87" s="9">
        <v>51240</v>
      </c>
      <c r="F87" s="9">
        <v>94145.58</v>
      </c>
      <c r="G87">
        <f t="shared" si="2"/>
        <v>-0.2</v>
      </c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  <c r="AA87" s="18"/>
      <c r="AB87" s="18"/>
    </row>
    <row r="88" spans="1:7">
      <c r="A88" s="6">
        <v>2021</v>
      </c>
      <c r="B88" s="7">
        <v>3</v>
      </c>
      <c r="C88" s="2">
        <v>2.6</v>
      </c>
      <c r="D88" s="9">
        <v>120.2</v>
      </c>
      <c r="E88" s="9">
        <v>52680</v>
      </c>
      <c r="F88" s="9">
        <v>99801.85</v>
      </c>
      <c r="G88">
        <f t="shared" si="2"/>
        <v>-0.1</v>
      </c>
    </row>
    <row r="89" spans="1:7">
      <c r="A89" s="6">
        <v>2021</v>
      </c>
      <c r="B89" s="7">
        <v>4</v>
      </c>
      <c r="C89" s="2">
        <v>2.4</v>
      </c>
      <c r="D89" s="9">
        <v>122.4</v>
      </c>
      <c r="E89" s="9">
        <v>54150</v>
      </c>
      <c r="F89" s="9">
        <v>106859.49</v>
      </c>
      <c r="G89">
        <f t="shared" si="2"/>
        <v>-0.2</v>
      </c>
    </row>
    <row r="90" spans="1:9">
      <c r="A90" s="6">
        <v>2022</v>
      </c>
      <c r="B90" s="7">
        <v>1</v>
      </c>
      <c r="C90" s="2">
        <v>2.3</v>
      </c>
      <c r="D90" s="9">
        <v>108.7</v>
      </c>
      <c r="E90" s="9">
        <v>55320</v>
      </c>
      <c r="F90" s="9">
        <v>114525.95</v>
      </c>
      <c r="G90">
        <f t="shared" si="2"/>
        <v>-0.1</v>
      </c>
      <c r="H90">
        <v>1845320</v>
      </c>
      <c r="I90">
        <v>2260</v>
      </c>
    </row>
    <row r="91" spans="1:7">
      <c r="A91" s="6">
        <v>2022</v>
      </c>
      <c r="B91" s="7">
        <v>2</v>
      </c>
      <c r="C91" s="2">
        <v>2.4</v>
      </c>
      <c r="D91" s="9">
        <v>106.9</v>
      </c>
      <c r="E91" s="9">
        <v>57480</v>
      </c>
      <c r="F91" s="9">
        <v>121054.44</v>
      </c>
      <c r="G91">
        <f t="shared" si="2"/>
        <v>0.1</v>
      </c>
    </row>
    <row r="92" spans="1:7">
      <c r="A92" s="6">
        <v>2022</v>
      </c>
      <c r="B92" s="7">
        <v>3</v>
      </c>
      <c r="C92" s="2">
        <v>2.2</v>
      </c>
      <c r="D92" s="9">
        <v>105.3</v>
      </c>
      <c r="E92" s="9">
        <v>59210</v>
      </c>
      <c r="F92" s="9">
        <v>131064.46</v>
      </c>
      <c r="G92">
        <f t="shared" si="2"/>
        <v>-0.2</v>
      </c>
    </row>
    <row r="93" spans="1:7">
      <c r="A93" s="6">
        <v>2022</v>
      </c>
      <c r="B93" s="7">
        <v>4</v>
      </c>
      <c r="C93" s="2">
        <v>2.2</v>
      </c>
      <c r="D93" s="9">
        <v>104.1</v>
      </c>
      <c r="E93" s="9">
        <v>61040</v>
      </c>
      <c r="F93" s="9">
        <v>134206.02</v>
      </c>
      <c r="G93">
        <f t="shared" si="2"/>
        <v>0</v>
      </c>
    </row>
    <row r="94" spans="1:9">
      <c r="A94" s="6">
        <v>2023</v>
      </c>
      <c r="B94" s="7">
        <v>1</v>
      </c>
      <c r="C94" s="2">
        <v>2.21</v>
      </c>
      <c r="D94" s="9">
        <v>102.5</v>
      </c>
      <c r="E94" s="9">
        <v>62870</v>
      </c>
      <c r="F94" s="9">
        <v>127094.96</v>
      </c>
      <c r="G94">
        <f t="shared" si="2"/>
        <v>0.00999999999999979</v>
      </c>
      <c r="H94">
        <v>1985670</v>
      </c>
      <c r="I94">
        <v>2240</v>
      </c>
    </row>
    <row r="95" spans="1:7">
      <c r="A95" s="6">
        <v>2023</v>
      </c>
      <c r="B95" s="7">
        <v>2</v>
      </c>
      <c r="C95" s="2">
        <v>2.1</v>
      </c>
      <c r="D95" s="9">
        <v>103.8</v>
      </c>
      <c r="E95" s="9">
        <v>64920</v>
      </c>
      <c r="F95" s="9">
        <v>129929.02</v>
      </c>
      <c r="G95">
        <f t="shared" si="2"/>
        <v>-0.11</v>
      </c>
    </row>
    <row r="96" spans="1:7">
      <c r="A96" s="6">
        <v>2023</v>
      </c>
      <c r="B96" s="7">
        <v>3</v>
      </c>
      <c r="C96" s="2">
        <v>2.03</v>
      </c>
      <c r="D96" s="9">
        <v>105</v>
      </c>
      <c r="E96" s="9">
        <v>66750</v>
      </c>
      <c r="F96" s="9">
        <v>135786.34</v>
      </c>
      <c r="G96">
        <f t="shared" si="2"/>
        <v>-0.0700000000000003</v>
      </c>
    </row>
    <row r="97" spans="1:7">
      <c r="A97" s="6">
        <v>2023</v>
      </c>
      <c r="B97" s="7">
        <v>4</v>
      </c>
      <c r="C97" s="2">
        <v>2</v>
      </c>
      <c r="D97" s="9">
        <v>106.7</v>
      </c>
      <c r="E97" s="9">
        <v>68940</v>
      </c>
      <c r="F97" s="9">
        <v>138327.85</v>
      </c>
      <c r="G97">
        <f t="shared" si="2"/>
        <v>-0.0299999999999998</v>
      </c>
    </row>
    <row r="98" spans="1:8">
      <c r="A98" s="14">
        <v>2024</v>
      </c>
      <c r="B98" s="7">
        <v>1</v>
      </c>
      <c r="C98" s="2">
        <v>1.9</v>
      </c>
      <c r="D98" s="9">
        <v>101.2</v>
      </c>
      <c r="E98" s="9">
        <v>70120</v>
      </c>
      <c r="F98" s="9">
        <v>162871.42</v>
      </c>
      <c r="G98">
        <f t="shared" si="2"/>
        <v>-0.1</v>
      </c>
      <c r="H98">
        <v>2120000</v>
      </c>
    </row>
    <row r="99" spans="1:7">
      <c r="A99" s="15">
        <v>2024</v>
      </c>
      <c r="B99" s="7">
        <v>2</v>
      </c>
      <c r="C99" s="2">
        <v>1.9</v>
      </c>
      <c r="D99" s="9">
        <v>102.6</v>
      </c>
      <c r="E99" s="9">
        <v>72340</v>
      </c>
      <c r="F99" s="9">
        <v>167806.35</v>
      </c>
      <c r="G99">
        <f t="shared" si="2"/>
        <v>0</v>
      </c>
    </row>
    <row r="100" spans="1:7">
      <c r="A100" s="16">
        <v>2024</v>
      </c>
      <c r="B100" s="7">
        <v>3</v>
      </c>
      <c r="C100" s="2">
        <v>1.8</v>
      </c>
      <c r="D100" s="9">
        <v>103.4</v>
      </c>
      <c r="E100" s="9">
        <v>74280</v>
      </c>
      <c r="F100" s="9">
        <v>172699.87</v>
      </c>
      <c r="G100">
        <f t="shared" si="2"/>
        <v>-0.0999999999999999</v>
      </c>
    </row>
    <row r="101" spans="1:7">
      <c r="A101" s="6">
        <v>2024</v>
      </c>
      <c r="B101" s="7">
        <v>4</v>
      </c>
      <c r="C101">
        <v>1.8</v>
      </c>
      <c r="D101">
        <v>104.5</v>
      </c>
      <c r="E101">
        <v>76500</v>
      </c>
      <c r="F101">
        <v>178500</v>
      </c>
      <c r="G101">
        <f>C101-C100</f>
        <v>0</v>
      </c>
    </row>
    <row r="102" spans="1:8">
      <c r="A102" s="6">
        <v>2025</v>
      </c>
      <c r="B102" s="7">
        <v>1</v>
      </c>
      <c r="C102">
        <v>1.7</v>
      </c>
      <c r="D102">
        <v>102.8</v>
      </c>
      <c r="E102">
        <v>79200</v>
      </c>
      <c r="F102">
        <v>185000</v>
      </c>
      <c r="G102">
        <f>C102-C101</f>
        <v>-0.1</v>
      </c>
      <c r="H102">
        <v>2250000</v>
      </c>
    </row>
    <row r="103" spans="1:7">
      <c r="A103" s="14">
        <v>2025</v>
      </c>
      <c r="B103" s="7">
        <v>2</v>
      </c>
      <c r="C103">
        <v>1.7</v>
      </c>
      <c r="D103">
        <v>105.1</v>
      </c>
      <c r="E103">
        <v>82100</v>
      </c>
      <c r="F103">
        <v>191200</v>
      </c>
      <c r="G103">
        <f>C103-C102</f>
        <v>0</v>
      </c>
    </row>
    <row r="104" spans="1:7">
      <c r="A104" s="15">
        <v>2025</v>
      </c>
      <c r="B104" s="7">
        <v>3</v>
      </c>
      <c r="C104">
        <v>1.7</v>
      </c>
      <c r="D104">
        <v>106.4</v>
      </c>
      <c r="E104">
        <v>84800</v>
      </c>
      <c r="F104">
        <v>196500</v>
      </c>
      <c r="G104">
        <f>C104-C103</f>
        <v>0</v>
      </c>
    </row>
    <row r="105" spans="1:7">
      <c r="A105" s="16">
        <v>2025</v>
      </c>
      <c r="B105" s="7">
        <v>4</v>
      </c>
      <c r="C105">
        <v>1.8</v>
      </c>
      <c r="D105">
        <v>107</v>
      </c>
      <c r="E105">
        <v>87500</v>
      </c>
      <c r="F105">
        <v>201000</v>
      </c>
      <c r="G105">
        <f>C105-C104</f>
        <v>0.1</v>
      </c>
    </row>
  </sheetData>
  <mergeCells count="1">
    <mergeCell ref="L76:AB87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user</cp:lastModifiedBy>
  <dcterms:created xsi:type="dcterms:W3CDTF">2025-07-21T09:59:00Z</dcterms:created>
  <dcterms:modified xsi:type="dcterms:W3CDTF">2026-03-21T15:40:10Z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557056F782AF4BD3BEFC899B0B5D9777_12</vt:lpwstr>
  </property>
  <property fmtid="{D5CDD505-2E9C-101B-9397-08002B2CF9AE}" pid="3" name="KSOProductBuildVer">
    <vt:lpwstr>1049-12.2.0.23196</vt:lpwstr>
  </property>
</Properties>
</file>